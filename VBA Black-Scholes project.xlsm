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iafg\Downloads\"/>
    </mc:Choice>
  </mc:AlternateContent>
  <xr:revisionPtr revIDLastSave="0" documentId="8_{CFA19055-1E8D-4C94-B430-78C533D871F2}" xr6:coauthVersionLast="47" xr6:coauthVersionMax="47" xr10:uidLastSave="{00000000-0000-0000-0000-000000000000}"/>
  <bookViews>
    <workbookView xWindow="20" yWindow="0" windowWidth="19380" windowHeight="20970" xr2:uid="{881A12B7-5332-4C54-A330-96A7B2FCAFF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7" i="1" l="1" a="1"/>
  <c r="B8" i="1" a="1"/>
  <c r="B10" i="1" a="1"/>
  <c r="B11" i="1" a="1"/>
  <c r="B12" i="1" a="1"/>
  <c r="B13" i="1" a="1"/>
  <c r="B14" i="1" a="1"/>
  <c r="B15" i="1" a="1"/>
  <c r="B15" i="1" l="1"/>
  <c r="B14" i="1"/>
  <c r="B13" i="1"/>
  <c r="B12" i="1"/>
  <c r="B11" i="1"/>
  <c r="B10" i="1"/>
  <c r="B8" i="1"/>
  <c r="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<sst xmlns="http://schemas.openxmlformats.org/spreadsheetml/2006/main" count="15" uniqueCount="15">
  <si>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Stock Price (S)</t>
  </si>
  <si>
    <t>Strike Price (K)</t>
  </si>
  <si>
    <t>Time to Expiry (T, years)</t>
  </si>
  <si>
    <t>Risk-Free Rate (r)</t>
  </si>
  <si>
    <t>Volatility (sigma)</t>
  </si>
  <si>
    <t>Call Option Price</t>
  </si>
  <si>
    <t>Put Option Price</t>
  </si>
  <si>
    <t>Call Delta</t>
  </si>
  <si>
    <t>Put Delta</t>
  </si>
  <si>
    <t>Gamma</t>
  </si>
  <si>
    <t>Vega</t>
  </si>
  <si>
    <t>Call Theta</t>
  </si>
  <si>
    <t>Put Theta</t>
  </si>
  <si>
    <t>Black-Scholes Option Pricing Calculator</t>
    <phoneticPr fontId="1" type="noConversion"/>
  </si>
  <si>
    <t>Greeks: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</si>
</sst>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0.0000_ "/>
  </numFmts>
  <fonts count="5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scheme val="minor"/>
    </font>
    <font>
      <sz val="11"/>
      <color theme="1"/>
      <name val="等线"/>
      <scheme val="minor"/>
    </font>
    <font>
      <b/>
      <i/>
      <sz val="11"/>
      <color theme="1"/>
      <name val="等线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7" fontId="0" fillId="3" borderId="0" xfId="0" applyNumberFormat="1" applyFill="1">
      <alignment vertical="center"/>
    </xf>
    <xf numFmtId="0" fontId="0" fillId="4" borderId="0" xfId="0" applyFill="1">
      <alignment vertical="center"/>
    </xf>
    <xf numFmtId="177" fontId="0" fillId="2" borderId="0" xfId="0" applyNumberFormat="1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609D3-2E1D-4C82-9482-874397CAEBCB}">
  <sheetPr codeName="Sheet1"/>
  <dimension ref="A1:B15"/>
  <sheetViews>
    <sheetView tabSelected="1" workbookViewId="0">
      <selection activeCell="J9" sqref="J9"/>
    </sheetView>
  </sheetViews>
  <sheetFormatPr defaultRowHeight="14"/>
  <cols>
    <col min="1" max="1" width="20.4140625" bestFit="1" customWidth="1"/>
    <col min="2" max="2" width="13.33203125" bestFit="1" customWidth="1"/>
  </cols>
  <sheetData>
    <row r="1" spans="1:2">
      <c r="A1" s="1" t="s">
        <v>13</v>
      </c>
      <c r="B1" s="1"/>
    </row>
    <row r="2" spans="1:2">
      <c r="A2" s="2" t="s">
        <v>0</v>
      </c>
      <c r="B2" s="5">
        <v>42</v>
      </c>
    </row>
    <row r="3" spans="1:2">
      <c r="A3" s="2" t="s">
        <v>1</v>
      </c>
      <c r="B3" s="5">
        <v>40</v>
      </c>
    </row>
    <row r="4" spans="1:2">
      <c r="A4" s="2" t="s">
        <v>2</v>
      </c>
      <c r="B4" s="5">
        <v>0.5</v>
      </c>
    </row>
    <row r="5" spans="1:2">
      <c r="A5" s="2" t="s">
        <v>3</v>
      </c>
      <c r="B5" s="5">
        <v>0.1</v>
      </c>
    </row>
    <row r="6" spans="1:2">
      <c r="A6" s="2" t="s">
        <v>4</v>
      </c>
      <c r="B6" s="5">
        <v>0.2</v>
      </c>
    </row>
    <row r="7" spans="1:2">
      <c r="A7" t="s">
        <v>5</v>
      </c>
      <c r="B7" s="6" cm="1">
        <f t="array" ref="B7">CallPrice(B2,B3,B4,B5,B6)</f>
        <v>4.7594223928715316</v>
      </c>
    </row>
    <row r="8" spans="1:2">
      <c r="A8" t="s">
        <v>6</v>
      </c>
      <c r="B8" s="6" cm="1">
        <f t="array" ref="B8">PutPrice(B2,B3,B4,B5,B6)</f>
        <v>0.80859937290009221</v>
      </c>
    </row>
    <row r="9" spans="1:2">
      <c r="A9" s="3" t="s">
        <v>14</v>
      </c>
      <c r="B9" s="4"/>
    </row>
    <row r="10" spans="1:2">
      <c r="A10" t="s">
        <v>7</v>
      </c>
      <c r="B10" s="6" cm="1">
        <f t="array" ref="B10">CallDelta(B2,B3,B4,B5,B6)</f>
        <v>0.77913129094266897</v>
      </c>
    </row>
    <row r="11" spans="1:2">
      <c r="A11" t="s">
        <v>8</v>
      </c>
      <c r="B11" s="6" cm="1">
        <f t="array" ref="B11">PutDelta(B2,B3,B4,B5,B6)</f>
        <v>-0.22086870905733103</v>
      </c>
    </row>
    <row r="12" spans="1:2">
      <c r="A12" t="s">
        <v>9</v>
      </c>
      <c r="B12" s="6" cm="1">
        <f t="array" ref="B12">OptGamma(B2,B3,B4,B5,B6)</f>
        <v>4.9962670405911846E-2</v>
      </c>
    </row>
    <row r="13" spans="1:2">
      <c r="A13" t="s">
        <v>10</v>
      </c>
      <c r="B13" s="6" cm="1">
        <f t="array" ref="B13">Vega(B2,B3,B4,B5,B6)</f>
        <v>8.8134150596028515</v>
      </c>
    </row>
    <row r="14" spans="1:2">
      <c r="A14" t="s">
        <v>11</v>
      </c>
      <c r="B14" s="6" cm="1">
        <f t="array" ref="B14">CallTheta(B2,B3,B4,B5,B6)</f>
        <v>-4.559092194592627</v>
      </c>
    </row>
    <row r="15" spans="1:2">
      <c r="A15" t="s">
        <v>12</v>
      </c>
      <c r="B15" s="6" cm="1">
        <f t="array" ref="B15">PutTheta(B2,B3,B4,B5,B6)</f>
        <v>-0.75417449658977043</v>
      </c>
    </row>
  </sheetData>
  <mergeCells count="1">
    <mergeCell ref="A1:B1"/>
  </mergeCells>
  <phoneticPr fontId="1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2635965316BB4395FBFAB2CD059C9F" ma:contentTypeVersion="10" ma:contentTypeDescription="Create a new document." ma:contentTypeScope="" ma:versionID="1ab759773a148037d5d5081db9376aaa">
  <xsd:schema xmlns:xsd="http://www.w3.org/2001/XMLSchema" xmlns:xs="http://www.w3.org/2001/XMLSchema" xmlns:p="http://schemas.microsoft.com/office/2006/metadata/properties" xmlns:ns3="ab55c4b2-893a-4abe-9104-5a273518009e" targetNamespace="http://schemas.microsoft.com/office/2006/metadata/properties" ma:root="true" ma:fieldsID="13ddaa9118305eaffc6cf17f440e0380" ns3:_="">
    <xsd:import namespace="ab55c4b2-893a-4abe-9104-5a273518009e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55c4b2-893a-4abe-9104-5a273518009e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b55c4b2-893a-4abe-9104-5a273518009e" xsi:nil="true"/>
  </documentManagement>
</p:properties>
</file>

<file path=customXml/itemProps1.xml><?xml version="1.0" encoding="utf-8"?>
<ds:datastoreItem xmlns:ds="http://schemas.openxmlformats.org/officeDocument/2006/customXml" ds:itemID="{81149283-A479-4145-BD99-EC73EAAD93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55c4b2-893a-4abe-9104-5a27351800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0246B2B-0782-4B52-B644-0F8B0CB17AD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6F104EA-1D07-4F28-AC14-EBFDAA29D62A}">
  <ds:schemaRefs>
    <ds:schemaRef ds:uri="http://purl.org/dc/terms/"/>
    <ds:schemaRef ds:uri="ab55c4b2-893a-4abe-9104-5a273518009e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purl.org/dc/elements/1.1/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Gavin Li</dc:creator>
  <cp:lastModifiedBy>Gavin Li</cp:lastModifiedBy>
  <cp:lastPrinted>2026-09-25T00:20:15Z</cp:lastPrinted>
  <dcterms:created xsi:type="dcterms:W3CDTF">2026-09-24T23:08:40Z</dcterms:created>
  <dcterms:modified xsi:type="dcterms:W3CDTF">2026-09-25T00:20:38Z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0x010100A02635965316BB4395FBFAB2CD059C9F</vt:lpwstr>
  </property>
</Properties>
</file>